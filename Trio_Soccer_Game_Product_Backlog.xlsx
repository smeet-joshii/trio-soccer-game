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<sst xmlns="http://schemas.openxmlformats.org/spreadsheetml/2006/main" count="320" uniqueCount="139">
  <si>
    <t xml:space="preserve">2D Three-Player Soccer Game — Product Backlog</t>
  </si>
  <si>
    <t xml:space="preserve">Kirkwood Community College — Software Design &amp; Development — Team: Smeet Joshi (SJ), Tabir (TY), Eli (EK)</t>
  </si>
  <si>
    <t xml:space="preserve">Total Tasks</t>
  </si>
  <si>
    <t xml:space="preserve">Total Est. Hours</t>
  </si>
  <si>
    <t xml:space="preserve">Completed Tasks</t>
  </si>
  <si>
    <t xml:space="preserve">Completed Hours</t>
  </si>
  <si>
    <t xml:space="preserve">Priority key:  1 = Very Important   2 = Important   3 = Lower Priority</t>
  </si>
  <si>
    <t xml:space="preserve">Task ID</t>
  </si>
  <si>
    <t xml:space="preserve">Category</t>
  </si>
  <si>
    <t xml:space="preserve">Task</t>
  </si>
  <si>
    <t xml:space="preserve">Description</t>
  </si>
  <si>
    <t xml:space="preserve">Est. Hours</t>
  </si>
  <si>
    <t xml:space="preserve">Priority</t>
  </si>
  <si>
    <t xml:space="preserve">Status</t>
  </si>
  <si>
    <t xml:space="preserve">Completed By</t>
  </si>
  <si>
    <t xml:space="preserve">Sprint</t>
  </si>
  <si>
    <t xml:space="preserve">Planning</t>
  </si>
  <si>
    <t xml:space="preserve">Confirm project concept and game rules</t>
  </si>
  <si>
    <t xml:space="preserve">Finalize the basic 2D soccer game concept, match rules and scope.</t>
  </si>
  <si>
    <t xml:space="preserve">Completed</t>
  </si>
  <si>
    <t xml:space="preserve">SJ, TY, EK</t>
  </si>
  <si>
    <t xml:space="preserve">Week 1</t>
  </si>
  <si>
    <t xml:space="preserve">Define teams and player roles</t>
  </si>
  <si>
    <t xml:space="preserve">Set two teams with 3 players each - 1 defender and 2 front players.</t>
  </si>
  <si>
    <t xml:space="preserve">Analysis</t>
  </si>
  <si>
    <t xml:space="preserve">Write requirements analysis</t>
  </si>
  <si>
    <t xml:space="preserve">Document functional and non-functional requirements for the basic game.</t>
  </si>
  <si>
    <t xml:space="preserve">Design</t>
  </si>
  <si>
    <t xml:space="preserve">Design field, goal and UI layout</t>
  </si>
  <si>
    <t xml:space="preserve">Plan the soccer field, goal areas, scoreboard area, timer and menu placement.</t>
  </si>
  <si>
    <t xml:space="preserve">Write use cases</t>
  </si>
  <si>
    <t xml:space="preserve">Create use cases for starting the game, moving players, scoring, pausing and exiting.</t>
  </si>
  <si>
    <t xml:space="preserve">Create CRC cards</t>
  </si>
  <si>
    <t xml:space="preserve">Define responsibilities and collaborators for core classes.</t>
  </si>
  <si>
    <t xml:space="preserve">Create UML class detail diagram</t>
  </si>
  <si>
    <t xml:space="preserve">Draw a detailed UML class diagram for SoccerGame, Team, Player, Ball, GameTimer, GameMenu, Field.</t>
  </si>
  <si>
    <t xml:space="preserve">Create UML relationship diagram</t>
  </si>
  <si>
    <t xml:space="preserve">Show class associations and connections between the main game classes.</t>
  </si>
  <si>
    <t xml:space="preserve">Create parent/child relationship diagram</t>
  </si>
  <si>
    <t xml:space="preserve">Draw the parent/child relationship diagram for the game.</t>
  </si>
  <si>
    <t xml:space="preserve">Scrum</t>
  </si>
  <si>
    <t xml:space="preserve">Create initial product backlog</t>
  </si>
  <si>
    <t xml:space="preserve">List all major tasks, estimates hours, rank, status and sprint completion column.</t>
  </si>
  <si>
    <t xml:space="preserve">Complete Week 1 scrum artifacts</t>
  </si>
  <si>
    <t xml:space="preserve">Prepare Week 1 kanban board, work log, worksheet answers, and backlog update.</t>
  </si>
  <si>
    <t xml:space="preserve">Draft class responsibilities and game states</t>
  </si>
  <si>
    <t xml:space="preserve">Define SoccerGame, Team, Player, Ball, GameTimer, GameMenu, and game states.</t>
  </si>
  <si>
    <t xml:space="preserve">Update UML diagrams after implementation changes</t>
  </si>
  <si>
    <t xml:space="preserve">Revise UML class and relationship diagrams if the code design changes during development.</t>
  </si>
  <si>
    <t xml:space="preserve">SJ</t>
  </si>
  <si>
    <t xml:space="preserve">Week 2</t>
  </si>
  <si>
    <t xml:space="preserve">Setup</t>
  </si>
  <si>
    <t xml:space="preserve">Set up project structure and game loop</t>
  </si>
  <si>
    <t xml:space="preserve">Create project files, main class, game panel/window and main loop.</t>
  </si>
  <si>
    <t xml:space="preserve">Coding</t>
  </si>
  <si>
    <t xml:space="preserve">Start Field class and field boundaries</t>
  </si>
  <si>
    <t xml:space="preserve">Create the field object and set playable area boundaries.</t>
  </si>
  <si>
    <t xml:space="preserve">TY, EK</t>
  </si>
  <si>
    <t xml:space="preserve">Start Team class</t>
  </si>
  <si>
    <t xml:space="preserve">Store team name, team score and references to team players.</t>
  </si>
  <si>
    <t xml:space="preserve">Start Player class</t>
  </si>
  <si>
    <t xml:space="preserve">Create player properties, movement state, team, role and position handling.</t>
  </si>
  <si>
    <t xml:space="preserve">Start Ball class</t>
  </si>
  <si>
    <t xml:space="preserve">Create ball properties, movement logic and reset behavior.</t>
  </si>
  <si>
    <t xml:space="preserve">UI</t>
  </si>
  <si>
    <t xml:space="preserve">Draw field, goals, scoreboard and timer area</t>
  </si>
  <si>
    <t xml:space="preserve">Render the main field and heads-up display on the screen.</t>
  </si>
  <si>
    <t xml:space="preserve">SJ, EK</t>
  </si>
  <si>
    <t xml:space="preserve">Draw players and ball</t>
  </si>
  <si>
    <t xml:space="preserve">Display both teams and the ball using shapes or sprites.</t>
  </si>
  <si>
    <t xml:space="preserve">Gameplay</t>
  </si>
  <si>
    <t xml:space="preserve">Set starting positions and reset positions</t>
  </si>
  <si>
    <t xml:space="preserve">Place all players and the ball at correct starting locations.</t>
  </si>
  <si>
    <t xml:space="preserve">Add Team 1 movement controls</t>
  </si>
  <si>
    <t xml:space="preserve">Map keys and movement behavior for Team 1 players.</t>
  </si>
  <si>
    <t xml:space="preserve">TY</t>
  </si>
  <si>
    <t xml:space="preserve">Add Team 2 movement controls</t>
  </si>
  <si>
    <t xml:space="preserve">Map keys and movement behavior for Team 2 players.</t>
  </si>
  <si>
    <t xml:space="preserve">Restrict players within field boundaries</t>
  </si>
  <si>
    <t xml:space="preserve">Prevent players from moving outside the field.</t>
  </si>
  <si>
    <t xml:space="preserve">Add ball-player collision logic</t>
  </si>
  <si>
    <t xml:space="preserve">Let player contact move or kick the ball correctly.</t>
  </si>
  <si>
    <t xml:space="preserve">Add ball-boundary collision logic</t>
  </si>
  <si>
    <t xml:space="preserve">Handle ball contact with field edges and out-of-bounds behavior.</t>
  </si>
  <si>
    <t xml:space="preserve">Add goal detection</t>
  </si>
  <si>
    <t xml:space="preserve">Detect when the ball fully enters either goal area.</t>
  </si>
  <si>
    <t xml:space="preserve">Add score update logic</t>
  </si>
  <si>
    <t xml:space="preserve">Increase the correct team score after a goal.</t>
  </si>
  <si>
    <t xml:space="preserve">Add timer logic and display updates</t>
  </si>
  <si>
    <t xml:space="preserve">Start, pause, reset and display the game timer.</t>
  </si>
  <si>
    <t xml:space="preserve">Menu</t>
  </si>
  <si>
    <t xml:space="preserve">Create New Game action</t>
  </si>
  <si>
    <t xml:space="preserve">Reset the match, score, timer, players and ball.</t>
  </si>
  <si>
    <t xml:space="preserve">Create Pause/Resume action</t>
  </si>
  <si>
    <t xml:space="preserve">Pause gameplay and timer, then allow play to resume.</t>
  </si>
  <si>
    <t xml:space="preserve">Create Exit Game action</t>
  </si>
  <si>
    <t xml:space="preserve">Allow the user to close the game cleanly.</t>
  </si>
  <si>
    <t xml:space="preserve">Implement game state manager</t>
  </si>
  <si>
    <t xml:space="preserve">Handle menu, playing, paused and match end states.</t>
  </si>
  <si>
    <t xml:space="preserve">Apply defender near-goal rule</t>
  </si>
  <si>
    <t xml:space="preserve">Keep the defender role focused near the goal area.</t>
  </si>
  <si>
    <t xml:space="preserve">Week 3</t>
  </si>
  <si>
    <t xml:space="preserve">Apply front-player positioning rule</t>
  </si>
  <si>
    <t xml:space="preserve">Keep the two front players in attacking play areas.</t>
  </si>
  <si>
    <t xml:space="preserve">Add kick/pass interaction</t>
  </si>
  <si>
    <t xml:space="preserve">Allow players to send the ball forward intentionally.</t>
  </si>
  <si>
    <t xml:space="preserve">EK</t>
  </si>
  <si>
    <t xml:space="preserve">Add end of match condition</t>
  </si>
  <si>
    <t xml:space="preserve">Stop the match when the timer reaches zero or the chosen condition is met.</t>
  </si>
  <si>
    <t xml:space="preserve">Add restart after goal flow</t>
  </si>
  <si>
    <t xml:space="preserve">Pause briefly after goals and reset to starting positions.</t>
  </si>
  <si>
    <t xml:space="preserve">Testing</t>
  </si>
  <si>
    <t xml:space="preserve">Test player movement</t>
  </si>
  <si>
    <t xml:space="preserve">Check movement, controls and field restrictions.</t>
  </si>
  <si>
    <t xml:space="preserve">Test ball movement and collisions</t>
  </si>
  <si>
    <t xml:space="preserve">Check ball movement, collisions and bounce/reset behavior.</t>
  </si>
  <si>
    <t xml:space="preserve">Test score, timer and menu actions</t>
  </si>
  <si>
    <t xml:space="preserve">Verify score, timer, New Game, Pause and Exit work correctly.</t>
  </si>
  <si>
    <t xml:space="preserve">Debugging</t>
  </si>
  <si>
    <t xml:space="preserve">Debug gameplay issues</t>
  </si>
  <si>
    <t xml:space="preserve">Fix bugs found in movement, collision, scoring or state transitions.</t>
  </si>
  <si>
    <t xml:space="preserve">Week 4</t>
  </si>
  <si>
    <t xml:space="preserve">Cleanup</t>
  </si>
  <si>
    <t xml:space="preserve">Refactor code and add comments</t>
  </si>
  <si>
    <t xml:space="preserve">Clean code structure and add useful comments for readability.</t>
  </si>
  <si>
    <t xml:space="preserve">Integration testing and playtest</t>
  </si>
  <si>
    <t xml:space="preserve">Run full match testing to confirm the basic game is playable.</t>
  </si>
  <si>
    <t xml:space="preserve">Fix bugs after playtest</t>
  </si>
  <si>
    <t xml:space="preserve">Resolve remaining issues found during integration testing.</t>
  </si>
  <si>
    <t xml:space="preserve">Release</t>
  </si>
  <si>
    <t xml:space="preserve">Final basic playable build check</t>
  </si>
  <si>
    <t xml:space="preserve">Verify the game is stable and ready for instructor demonstration.</t>
  </si>
  <si>
    <t xml:space="preserve">Set player zone</t>
  </si>
  <si>
    <t xml:space="preserve">Set each player's zone so that they get triggered as soon as the ball reaches the zone.</t>
  </si>
  <si>
    <t xml:space="preserve">Backlog Summary</t>
  </si>
  <si>
    <t xml:space="preserve">Task Count</t>
  </si>
  <si>
    <t xml:space="preserve">Hours</t>
  </si>
  <si>
    <t xml:space="preserve">In Progress</t>
  </si>
  <si>
    <t xml:space="preserve">Not Started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</si>
</sst>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9F9F9"/>
      </patternFill>
    </fill>
    <fill>
      <patternFill patternType="solid">
        <fgColor rgb="FFF8CBAD"/>
        <bgColor rgb="FFFCE4D6"/>
      </patternFill>
    </fill>
    <fill>
      <patternFill patternType="solid">
        <fgColor rgb="FFF2F2F2"/>
        <bgColor rgb="FFF9F9F9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C6E0B4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EFDA"/>
      <rgbColor rgb="FFFCE4D6"/>
      <rgbColor rgb="FFC6E0B4"/>
      <rgbColor rgb="FFF9F9F9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Hours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Summary!F3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Summary!$E$4:$E$16</c:f>
              <c:strCache>
                <c:ptCount val="13"/>
                <c:pt idx="0">
                  <c:v>Analysis</c:v>
                </c:pt>
                <c:pt idx="1">
                  <c:v>Cleanup</c:v>
                </c:pt>
                <c:pt idx="2">
                  <c:v>Coding</c:v>
                </c:pt>
                <c:pt idx="3">
                  <c:v>Debugging</c:v>
                </c:pt>
                <c:pt idx="4">
                  <c:v>Design</c:v>
                </c:pt>
                <c:pt idx="5">
                  <c:v>Gameplay</c:v>
                </c:pt>
                <c:pt idx="6">
                  <c:v>Menu</c:v>
                </c:pt>
                <c:pt idx="7">
                  <c:v>Planning</c:v>
                </c:pt>
                <c:pt idx="8">
                  <c:v>Release</c:v>
                </c:pt>
                <c:pt idx="9">
                  <c:v>Scrum</c:v>
                </c:pt>
                <c:pt idx="10">
                  <c:v>Setup</c:v>
                </c:pt>
                <c:pt idx="11">
                  <c:v>Testing</c:v>
                </c:pt>
                <c:pt idx="12">
                  <c:v>UI</c:v>
                </c:pt>
              </c:strCache>
            </c:strRef>
          </c:cat>
          <c:val>
            <c:numRef>
              <c:f>Summary!$F$4:$F$16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16</c:v>
                </c:pt>
                <c:pt idx="3">
                  <c:v>14</c:v>
                </c:pt>
                <c:pt idx="4">
                  <c:v>19</c:v>
                </c:pt>
                <c:pt idx="5">
                  <c:v>54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6</c:v>
                </c:pt>
                <c:pt idx="11">
                  <c:v>17</c:v>
                </c:pt>
                <c:pt idx="12">
                  <c:v>7</c:v>
                </c:pt>
              </c:numCache>
            </c:numRef>
          </c:val>
        </c:ser>
        <c:gapWidth val="150"/>
        <c:overlap val="0"/>
        <c:axId val="92405476"/>
        <c:axId val="14656869"/>
      </c:barChart>
      <c:catAx>
        <c:axId val="924054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656869"/>
        <c:crosses val="autoZero"/>
        <c:auto val="1"/>
        <c:lblAlgn val="ctr"/>
        <c:lblOffset val="100"/>
        <c:noMultiLvlLbl val="0"/>
      </c:catAx>
      <c:valAx>
        <c:axId val="146568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054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0</xdr:rowOff>
    </xdr:from>
    <xdr:to>
      <xdr:col>8</xdr:col>
      <xdr:colOff>96120</xdr:colOff>
      <xdr:row>33</xdr:row>
      <xdr:rowOff>1080</xdr:rowOff>
    </xdr:to>
    <xdr:graphicFrame>
      <xdr:nvGraphicFramePr>
        <xdr:cNvPr id="0" name="Chart 1"/>
        <xdr:cNvGraphicFramePr/>
      </xdr:nvGraphicFramePr>
      <xdr:xfrm>
        <a:off x="0" y="31622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46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9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9.5" hidden="false" customHeight="true" outlineLevel="0" collapsed="false">
      <c r="A4" s="3" t="s">
        <v>2</v>
      </c>
      <c r="B4" s="4" t="n">
        <f aca="false">COUNTA(A9:A55)</f>
        <v>47</v>
      </c>
      <c r="C4" s="3" t="s">
        <v>3</v>
      </c>
      <c r="D4" s="4" t="n">
        <f aca="false">SUM(E9:E55)</f>
        <v>158</v>
      </c>
      <c r="E4" s="3" t="s">
        <v>4</v>
      </c>
      <c r="F4" s="4" t="n">
        <f aca="false">COUNTIF(G9:G55,"Completed")</f>
        <v>47</v>
      </c>
      <c r="G4" s="3" t="s">
        <v>5</v>
      </c>
      <c r="H4" s="4" t="n">
        <f aca="false">SUMIF(G9:G55,"Completed",E9:E55)</f>
        <v>158</v>
      </c>
    </row>
    <row r="6" customFormat="false" ht="15" hidden="false" customHeight="false" outlineLevel="0" collapsed="false">
      <c r="A6" s="5" t="s">
        <v>6</v>
      </c>
      <c r="B6" s="5"/>
      <c r="C6" s="5"/>
      <c r="D6" s="5"/>
      <c r="E6" s="5"/>
      <c r="F6" s="5"/>
      <c r="G6" s="5"/>
      <c r="H6" s="5"/>
      <c r="I6" s="5"/>
    </row>
    <row r="8" customFormat="false" ht="21.75" hidden="false" customHeight="true" outlineLevel="0" collapsed="false">
      <c r="A8" s="6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6" t="s">
        <v>14</v>
      </c>
      <c r="I8" s="6" t="s">
        <v>15</v>
      </c>
    </row>
    <row r="9" customFormat="false" ht="23.85" hidden="false" customHeight="false" outlineLevel="0" collapsed="false">
      <c r="A9" s="7" t="n">
        <v>1</v>
      </c>
      <c r="B9" s="8" t="s">
        <v>16</v>
      </c>
      <c r="C9" s="9" t="s">
        <v>17</v>
      </c>
      <c r="D9" s="9" t="s">
        <v>18</v>
      </c>
      <c r="E9" s="7" t="n">
        <v>2</v>
      </c>
      <c r="F9" s="10" t="n">
        <v>1</v>
      </c>
      <c r="G9" s="11" t="s">
        <v>19</v>
      </c>
      <c r="H9" s="11" t="s">
        <v>20</v>
      </c>
      <c r="I9" s="7" t="s">
        <v>21</v>
      </c>
    </row>
    <row r="10" customFormat="false" ht="23.85" hidden="false" customHeight="false" outlineLevel="0" collapsed="false">
      <c r="A10" s="7" t="n">
        <v>2</v>
      </c>
      <c r="B10" s="8" t="s">
        <v>16</v>
      </c>
      <c r="C10" s="12" t="s">
        <v>22</v>
      </c>
      <c r="D10" s="12" t="s">
        <v>23</v>
      </c>
      <c r="E10" s="7" t="n">
        <v>2</v>
      </c>
      <c r="F10" s="10" t="n">
        <v>1</v>
      </c>
      <c r="G10" s="13" t="s">
        <v>19</v>
      </c>
      <c r="H10" s="13" t="s">
        <v>20</v>
      </c>
      <c r="I10" s="7" t="s">
        <v>21</v>
      </c>
    </row>
    <row r="11" customFormat="false" ht="23.85" hidden="false" customHeight="false" outlineLevel="0" collapsed="false">
      <c r="A11" s="7" t="n">
        <v>3</v>
      </c>
      <c r="B11" s="14" t="s">
        <v>24</v>
      </c>
      <c r="C11" s="9" t="s">
        <v>25</v>
      </c>
      <c r="D11" s="9" t="s">
        <v>26</v>
      </c>
      <c r="E11" s="7" t="n">
        <v>4</v>
      </c>
      <c r="F11" s="10" t="n">
        <v>1</v>
      </c>
      <c r="G11" s="11" t="s">
        <v>19</v>
      </c>
      <c r="H11" s="11" t="s">
        <v>20</v>
      </c>
      <c r="I11" s="7" t="s">
        <v>21</v>
      </c>
    </row>
    <row r="12" customFormat="false" ht="23.85" hidden="false" customHeight="false" outlineLevel="0" collapsed="false">
      <c r="A12" s="7" t="n">
        <v>4</v>
      </c>
      <c r="B12" s="15" t="s">
        <v>27</v>
      </c>
      <c r="C12" s="12" t="s">
        <v>28</v>
      </c>
      <c r="D12" s="12" t="s">
        <v>29</v>
      </c>
      <c r="E12" s="7" t="n">
        <v>4</v>
      </c>
      <c r="F12" s="10" t="n">
        <v>1</v>
      </c>
      <c r="G12" s="13" t="s">
        <v>19</v>
      </c>
      <c r="H12" s="13" t="s">
        <v>20</v>
      </c>
      <c r="I12" s="7" t="s">
        <v>21</v>
      </c>
    </row>
    <row r="13" customFormat="false" ht="23.85" hidden="false" customHeight="false" outlineLevel="0" collapsed="false">
      <c r="A13" s="7" t="n">
        <v>5</v>
      </c>
      <c r="B13" s="15" t="s">
        <v>27</v>
      </c>
      <c r="C13" s="9" t="s">
        <v>30</v>
      </c>
      <c r="D13" s="9" t="s">
        <v>31</v>
      </c>
      <c r="E13" s="7" t="n">
        <v>2</v>
      </c>
      <c r="F13" s="14" t="n">
        <v>2</v>
      </c>
      <c r="G13" s="11" t="s">
        <v>19</v>
      </c>
      <c r="H13" s="11" t="s">
        <v>20</v>
      </c>
      <c r="I13" s="7" t="s">
        <v>21</v>
      </c>
    </row>
    <row r="14" customFormat="false" ht="15" hidden="false" customHeight="false" outlineLevel="0" collapsed="false">
      <c r="A14" s="7" t="n">
        <v>6</v>
      </c>
      <c r="B14" s="15" t="s">
        <v>27</v>
      </c>
      <c r="C14" s="12" t="s">
        <v>32</v>
      </c>
      <c r="D14" s="12" t="s">
        <v>33</v>
      </c>
      <c r="E14" s="7" t="n">
        <v>2</v>
      </c>
      <c r="F14" s="14" t="n">
        <v>2</v>
      </c>
      <c r="G14" s="13" t="s">
        <v>19</v>
      </c>
      <c r="H14" s="13" t="s">
        <v>20</v>
      </c>
      <c r="I14" s="7" t="s">
        <v>21</v>
      </c>
    </row>
    <row r="15" customFormat="false" ht="23.85" hidden="false" customHeight="false" outlineLevel="0" collapsed="false">
      <c r="A15" s="7" t="n">
        <v>7</v>
      </c>
      <c r="B15" s="15" t="s">
        <v>27</v>
      </c>
      <c r="C15" s="9" t="s">
        <v>34</v>
      </c>
      <c r="D15" s="9" t="s">
        <v>35</v>
      </c>
      <c r="E15" s="7" t="n">
        <v>2</v>
      </c>
      <c r="F15" s="14" t="n">
        <v>2</v>
      </c>
      <c r="G15" s="11" t="s">
        <v>19</v>
      </c>
      <c r="H15" s="11" t="s">
        <v>20</v>
      </c>
      <c r="I15" s="7" t="s">
        <v>21</v>
      </c>
    </row>
    <row r="16" customFormat="false" ht="23.85" hidden="false" customHeight="false" outlineLevel="0" collapsed="false">
      <c r="A16" s="7" t="n">
        <v>8</v>
      </c>
      <c r="B16" s="15" t="s">
        <v>27</v>
      </c>
      <c r="C16" s="12" t="s">
        <v>36</v>
      </c>
      <c r="D16" s="12" t="s">
        <v>37</v>
      </c>
      <c r="E16" s="7" t="n">
        <v>2</v>
      </c>
      <c r="F16" s="14" t="n">
        <v>2</v>
      </c>
      <c r="G16" s="13" t="s">
        <v>19</v>
      </c>
      <c r="H16" s="13" t="s">
        <v>20</v>
      </c>
      <c r="I16" s="7" t="s">
        <v>21</v>
      </c>
    </row>
    <row r="17" customFormat="false" ht="15" hidden="false" customHeight="false" outlineLevel="0" collapsed="false">
      <c r="A17" s="7" t="n">
        <v>9</v>
      </c>
      <c r="B17" s="15" t="s">
        <v>27</v>
      </c>
      <c r="C17" s="9" t="s">
        <v>38</v>
      </c>
      <c r="D17" s="9" t="s">
        <v>39</v>
      </c>
      <c r="E17" s="7" t="n">
        <v>2</v>
      </c>
      <c r="F17" s="14" t="n">
        <v>2</v>
      </c>
      <c r="G17" s="11" t="s">
        <v>19</v>
      </c>
      <c r="H17" s="11" t="s">
        <v>20</v>
      </c>
      <c r="I17" s="7" t="s">
        <v>21</v>
      </c>
    </row>
    <row r="18" customFormat="false" ht="23.85" hidden="false" customHeight="false" outlineLevel="0" collapsed="false">
      <c r="A18" s="7" t="n">
        <v>10</v>
      </c>
      <c r="B18" s="16" t="s">
        <v>40</v>
      </c>
      <c r="C18" s="12" t="s">
        <v>41</v>
      </c>
      <c r="D18" s="12" t="s">
        <v>42</v>
      </c>
      <c r="E18" s="7" t="n">
        <v>2</v>
      </c>
      <c r="F18" s="10" t="n">
        <v>1</v>
      </c>
      <c r="G18" s="13" t="s">
        <v>19</v>
      </c>
      <c r="H18" s="13" t="s">
        <v>20</v>
      </c>
      <c r="I18" s="7" t="s">
        <v>21</v>
      </c>
    </row>
    <row r="19" customFormat="false" ht="23.85" hidden="false" customHeight="false" outlineLevel="0" collapsed="false">
      <c r="A19" s="7" t="n">
        <v>11</v>
      </c>
      <c r="B19" s="16" t="s">
        <v>40</v>
      </c>
      <c r="C19" s="9" t="s">
        <v>43</v>
      </c>
      <c r="D19" s="9" t="s">
        <v>44</v>
      </c>
      <c r="E19" s="7" t="n">
        <v>2</v>
      </c>
      <c r="F19" s="14" t="n">
        <v>2</v>
      </c>
      <c r="G19" s="11" t="s">
        <v>19</v>
      </c>
      <c r="H19" s="11" t="s">
        <v>20</v>
      </c>
      <c r="I19" s="7" t="s">
        <v>21</v>
      </c>
    </row>
    <row r="20" customFormat="false" ht="23.85" hidden="false" customHeight="false" outlineLevel="0" collapsed="false">
      <c r="A20" s="7" t="n">
        <v>12</v>
      </c>
      <c r="B20" s="15" t="s">
        <v>27</v>
      </c>
      <c r="C20" s="12" t="s">
        <v>45</v>
      </c>
      <c r="D20" s="12" t="s">
        <v>46</v>
      </c>
      <c r="E20" s="7" t="n">
        <v>3</v>
      </c>
      <c r="F20" s="10" t="n">
        <v>1</v>
      </c>
      <c r="G20" s="13" t="s">
        <v>19</v>
      </c>
      <c r="H20" s="13" t="s">
        <v>20</v>
      </c>
      <c r="I20" s="7" t="s">
        <v>21</v>
      </c>
    </row>
    <row r="21" customFormat="false" ht="23.85" hidden="false" customHeight="false" outlineLevel="0" collapsed="false">
      <c r="A21" s="7" t="n">
        <v>13</v>
      </c>
      <c r="B21" s="15" t="s">
        <v>27</v>
      </c>
      <c r="C21" s="9" t="s">
        <v>47</v>
      </c>
      <c r="D21" s="9" t="s">
        <v>48</v>
      </c>
      <c r="E21" s="7" t="n">
        <v>2</v>
      </c>
      <c r="F21" s="14" t="n">
        <v>2</v>
      </c>
      <c r="G21" s="11" t="s">
        <v>19</v>
      </c>
      <c r="H21" s="11" t="s">
        <v>49</v>
      </c>
      <c r="I21" s="7" t="s">
        <v>50</v>
      </c>
    </row>
    <row r="22" customFormat="false" ht="23.85" hidden="false" customHeight="false" outlineLevel="0" collapsed="false">
      <c r="A22" s="7" t="n">
        <v>14</v>
      </c>
      <c r="B22" s="8" t="s">
        <v>51</v>
      </c>
      <c r="C22" s="12" t="s">
        <v>52</v>
      </c>
      <c r="D22" s="12" t="s">
        <v>53</v>
      </c>
      <c r="E22" s="7" t="n">
        <v>6</v>
      </c>
      <c r="F22" s="10" t="n">
        <v>1</v>
      </c>
      <c r="G22" s="13" t="s">
        <v>19</v>
      </c>
      <c r="H22" s="13" t="s">
        <v>49</v>
      </c>
      <c r="I22" s="7" t="s">
        <v>50</v>
      </c>
    </row>
    <row r="23" customFormat="false" ht="15" hidden="false" customHeight="false" outlineLevel="0" collapsed="false">
      <c r="A23" s="7" t="n">
        <v>15</v>
      </c>
      <c r="B23" s="15" t="s">
        <v>54</v>
      </c>
      <c r="C23" s="9" t="s">
        <v>55</v>
      </c>
      <c r="D23" s="9" t="s">
        <v>56</v>
      </c>
      <c r="E23" s="7" t="n">
        <v>3</v>
      </c>
      <c r="F23" s="10" t="n">
        <v>1</v>
      </c>
      <c r="G23" s="11" t="s">
        <v>19</v>
      </c>
      <c r="H23" s="11" t="s">
        <v>57</v>
      </c>
      <c r="I23" s="7" t="s">
        <v>50</v>
      </c>
    </row>
    <row r="24" customFormat="false" ht="23.85" hidden="false" customHeight="false" outlineLevel="0" collapsed="false">
      <c r="A24" s="7" t="n">
        <v>16</v>
      </c>
      <c r="B24" s="15" t="s">
        <v>54</v>
      </c>
      <c r="C24" s="12" t="s">
        <v>58</v>
      </c>
      <c r="D24" s="12" t="s">
        <v>59</v>
      </c>
      <c r="E24" s="7" t="n">
        <v>2</v>
      </c>
      <c r="F24" s="14" t="n">
        <v>2</v>
      </c>
      <c r="G24" s="13" t="s">
        <v>19</v>
      </c>
      <c r="H24" s="13" t="s">
        <v>57</v>
      </c>
      <c r="I24" s="7" t="s">
        <v>50</v>
      </c>
    </row>
    <row r="25" customFormat="false" ht="23.85" hidden="false" customHeight="false" outlineLevel="0" collapsed="false">
      <c r="A25" s="7" t="n">
        <v>17</v>
      </c>
      <c r="B25" s="15" t="s">
        <v>54</v>
      </c>
      <c r="C25" s="9" t="s">
        <v>60</v>
      </c>
      <c r="D25" s="9" t="s">
        <v>61</v>
      </c>
      <c r="E25" s="7" t="n">
        <v>6</v>
      </c>
      <c r="F25" s="10" t="n">
        <v>1</v>
      </c>
      <c r="G25" s="11" t="s">
        <v>19</v>
      </c>
      <c r="H25" s="11" t="s">
        <v>57</v>
      </c>
      <c r="I25" s="7" t="s">
        <v>50</v>
      </c>
    </row>
    <row r="26" customFormat="false" ht="15" hidden="false" customHeight="false" outlineLevel="0" collapsed="false">
      <c r="A26" s="7" t="n">
        <v>18</v>
      </c>
      <c r="B26" s="15" t="s">
        <v>54</v>
      </c>
      <c r="C26" s="12" t="s">
        <v>62</v>
      </c>
      <c r="D26" s="12" t="s">
        <v>63</v>
      </c>
      <c r="E26" s="7" t="n">
        <v>5</v>
      </c>
      <c r="F26" s="10" t="n">
        <v>1</v>
      </c>
      <c r="G26" s="13" t="s">
        <v>19</v>
      </c>
      <c r="H26" s="13" t="s">
        <v>57</v>
      </c>
      <c r="I26" s="7" t="s">
        <v>50</v>
      </c>
    </row>
    <row r="27" customFormat="false" ht="15" hidden="false" customHeight="false" outlineLevel="0" collapsed="false">
      <c r="A27" s="7" t="n">
        <v>19</v>
      </c>
      <c r="B27" s="16" t="s">
        <v>64</v>
      </c>
      <c r="C27" s="9" t="s">
        <v>65</v>
      </c>
      <c r="D27" s="9" t="s">
        <v>66</v>
      </c>
      <c r="E27" s="7" t="n">
        <v>4</v>
      </c>
      <c r="F27" s="10" t="n">
        <v>1</v>
      </c>
      <c r="G27" s="11" t="s">
        <v>19</v>
      </c>
      <c r="H27" s="11" t="s">
        <v>67</v>
      </c>
      <c r="I27" s="7" t="s">
        <v>50</v>
      </c>
    </row>
    <row r="28" customFormat="false" ht="15" hidden="false" customHeight="false" outlineLevel="0" collapsed="false">
      <c r="A28" s="7" t="n">
        <v>20</v>
      </c>
      <c r="B28" s="16" t="s">
        <v>64</v>
      </c>
      <c r="C28" s="12" t="s">
        <v>68</v>
      </c>
      <c r="D28" s="12" t="s">
        <v>69</v>
      </c>
      <c r="E28" s="7" t="n">
        <v>3</v>
      </c>
      <c r="F28" s="10" t="n">
        <v>1</v>
      </c>
      <c r="G28" s="13" t="s">
        <v>19</v>
      </c>
      <c r="H28" s="13" t="s">
        <v>49</v>
      </c>
      <c r="I28" s="7" t="s">
        <v>50</v>
      </c>
    </row>
    <row r="29" customFormat="false" ht="15" hidden="false" customHeight="false" outlineLevel="0" collapsed="false">
      <c r="A29" s="7" t="n">
        <v>21</v>
      </c>
      <c r="B29" s="14" t="s">
        <v>70</v>
      </c>
      <c r="C29" s="9" t="s">
        <v>71</v>
      </c>
      <c r="D29" s="9" t="s">
        <v>72</v>
      </c>
      <c r="E29" s="7" t="n">
        <v>2</v>
      </c>
      <c r="F29" s="10" t="n">
        <v>1</v>
      </c>
      <c r="G29" s="11" t="s">
        <v>19</v>
      </c>
      <c r="H29" s="11" t="s">
        <v>67</v>
      </c>
      <c r="I29" s="7" t="s">
        <v>50</v>
      </c>
    </row>
    <row r="30" customFormat="false" ht="15" hidden="false" customHeight="false" outlineLevel="0" collapsed="false">
      <c r="A30" s="7" t="n">
        <v>22</v>
      </c>
      <c r="B30" s="14" t="s">
        <v>70</v>
      </c>
      <c r="C30" s="12" t="s">
        <v>73</v>
      </c>
      <c r="D30" s="12" t="s">
        <v>74</v>
      </c>
      <c r="E30" s="7" t="n">
        <v>5</v>
      </c>
      <c r="F30" s="10" t="n">
        <v>1</v>
      </c>
      <c r="G30" s="13" t="s">
        <v>19</v>
      </c>
      <c r="H30" s="13" t="s">
        <v>75</v>
      </c>
      <c r="I30" s="7" t="s">
        <v>50</v>
      </c>
    </row>
    <row r="31" customFormat="false" ht="15" hidden="false" customHeight="false" outlineLevel="0" collapsed="false">
      <c r="A31" s="7" t="n">
        <v>23</v>
      </c>
      <c r="B31" s="14" t="s">
        <v>70</v>
      </c>
      <c r="C31" s="9" t="s">
        <v>76</v>
      </c>
      <c r="D31" s="9" t="s">
        <v>77</v>
      </c>
      <c r="E31" s="7" t="n">
        <v>5</v>
      </c>
      <c r="F31" s="10" t="n">
        <v>1</v>
      </c>
      <c r="G31" s="11" t="s">
        <v>19</v>
      </c>
      <c r="H31" s="11" t="s">
        <v>75</v>
      </c>
      <c r="I31" s="7" t="s">
        <v>50</v>
      </c>
    </row>
    <row r="32" customFormat="false" ht="15" hidden="false" customHeight="false" outlineLevel="0" collapsed="false">
      <c r="A32" s="7" t="n">
        <v>24</v>
      </c>
      <c r="B32" s="14" t="s">
        <v>70</v>
      </c>
      <c r="C32" s="12" t="s">
        <v>78</v>
      </c>
      <c r="D32" s="12" t="s">
        <v>79</v>
      </c>
      <c r="E32" s="7" t="n">
        <v>2</v>
      </c>
      <c r="F32" s="10" t="n">
        <v>1</v>
      </c>
      <c r="G32" s="13" t="s">
        <v>19</v>
      </c>
      <c r="H32" s="13" t="s">
        <v>75</v>
      </c>
      <c r="I32" s="7" t="s">
        <v>50</v>
      </c>
    </row>
    <row r="33" customFormat="false" ht="15" hidden="false" customHeight="false" outlineLevel="0" collapsed="false">
      <c r="A33" s="7" t="n">
        <v>25</v>
      </c>
      <c r="B33" s="14" t="s">
        <v>70</v>
      </c>
      <c r="C33" s="9" t="s">
        <v>80</v>
      </c>
      <c r="D33" s="9" t="s">
        <v>81</v>
      </c>
      <c r="E33" s="7" t="n">
        <v>6</v>
      </c>
      <c r="F33" s="10" t="n">
        <v>1</v>
      </c>
      <c r="G33" s="11" t="s">
        <v>19</v>
      </c>
      <c r="H33" s="11" t="s">
        <v>57</v>
      </c>
      <c r="I33" s="7" t="s">
        <v>50</v>
      </c>
    </row>
    <row r="34" customFormat="false" ht="23.85" hidden="false" customHeight="false" outlineLevel="0" collapsed="false">
      <c r="A34" s="7" t="n">
        <v>26</v>
      </c>
      <c r="B34" s="14" t="s">
        <v>70</v>
      </c>
      <c r="C34" s="12" t="s">
        <v>82</v>
      </c>
      <c r="D34" s="12" t="s">
        <v>83</v>
      </c>
      <c r="E34" s="7" t="n">
        <v>3</v>
      </c>
      <c r="F34" s="10" t="n">
        <v>1</v>
      </c>
      <c r="G34" s="13" t="s">
        <v>19</v>
      </c>
      <c r="H34" s="13" t="s">
        <v>75</v>
      </c>
      <c r="I34" s="7" t="s">
        <v>50</v>
      </c>
    </row>
    <row r="35" customFormat="false" ht="15" hidden="false" customHeight="false" outlineLevel="0" collapsed="false">
      <c r="A35" s="7" t="n">
        <v>27</v>
      </c>
      <c r="B35" s="14" t="s">
        <v>70</v>
      </c>
      <c r="C35" s="9" t="s">
        <v>84</v>
      </c>
      <c r="D35" s="9" t="s">
        <v>85</v>
      </c>
      <c r="E35" s="7" t="n">
        <v>4</v>
      </c>
      <c r="F35" s="10" t="n">
        <v>1</v>
      </c>
      <c r="G35" s="11" t="s">
        <v>19</v>
      </c>
      <c r="H35" s="11" t="s">
        <v>57</v>
      </c>
      <c r="I35" s="7" t="s">
        <v>50</v>
      </c>
    </row>
    <row r="36" customFormat="false" ht="15" hidden="false" customHeight="false" outlineLevel="0" collapsed="false">
      <c r="A36" s="7" t="n">
        <v>28</v>
      </c>
      <c r="B36" s="14" t="s">
        <v>70</v>
      </c>
      <c r="C36" s="12" t="s">
        <v>86</v>
      </c>
      <c r="D36" s="12" t="s">
        <v>87</v>
      </c>
      <c r="E36" s="7" t="n">
        <v>2</v>
      </c>
      <c r="F36" s="10" t="n">
        <v>1</v>
      </c>
      <c r="G36" s="13" t="s">
        <v>19</v>
      </c>
      <c r="H36" s="13" t="s">
        <v>49</v>
      </c>
      <c r="I36" s="7" t="s">
        <v>50</v>
      </c>
    </row>
    <row r="37" customFormat="false" ht="15" hidden="false" customHeight="false" outlineLevel="0" collapsed="false">
      <c r="A37" s="7" t="n">
        <v>29</v>
      </c>
      <c r="B37" s="14" t="s">
        <v>70</v>
      </c>
      <c r="C37" s="9" t="s">
        <v>88</v>
      </c>
      <c r="D37" s="9" t="s">
        <v>89</v>
      </c>
      <c r="E37" s="7" t="n">
        <v>4</v>
      </c>
      <c r="F37" s="10" t="n">
        <v>1</v>
      </c>
      <c r="G37" s="11" t="s">
        <v>19</v>
      </c>
      <c r="H37" s="11" t="s">
        <v>49</v>
      </c>
      <c r="I37" s="7" t="s">
        <v>50</v>
      </c>
    </row>
    <row r="38" customFormat="false" ht="15" hidden="false" customHeight="false" outlineLevel="0" collapsed="false">
      <c r="A38" s="7" t="n">
        <v>30</v>
      </c>
      <c r="B38" s="15" t="s">
        <v>90</v>
      </c>
      <c r="C38" s="12" t="s">
        <v>91</v>
      </c>
      <c r="D38" s="12" t="s">
        <v>92</v>
      </c>
      <c r="E38" s="7" t="n">
        <v>2</v>
      </c>
      <c r="F38" s="10" t="n">
        <v>1</v>
      </c>
      <c r="G38" s="13" t="s">
        <v>19</v>
      </c>
      <c r="H38" s="13" t="s">
        <v>49</v>
      </c>
      <c r="I38" s="7" t="s">
        <v>50</v>
      </c>
    </row>
    <row r="39" customFormat="false" ht="15" hidden="false" customHeight="false" outlineLevel="0" collapsed="false">
      <c r="A39" s="7" t="n">
        <v>31</v>
      </c>
      <c r="B39" s="15" t="s">
        <v>90</v>
      </c>
      <c r="C39" s="9" t="s">
        <v>93</v>
      </c>
      <c r="D39" s="9" t="s">
        <v>94</v>
      </c>
      <c r="E39" s="7" t="n">
        <v>2</v>
      </c>
      <c r="F39" s="10" t="n">
        <v>1</v>
      </c>
      <c r="G39" s="11" t="s">
        <v>19</v>
      </c>
      <c r="H39" s="11" t="s">
        <v>49</v>
      </c>
      <c r="I39" s="7" t="s">
        <v>50</v>
      </c>
    </row>
    <row r="40" customFormat="false" ht="15" hidden="false" customHeight="false" outlineLevel="0" collapsed="false">
      <c r="A40" s="7" t="n">
        <v>32</v>
      </c>
      <c r="B40" s="15" t="s">
        <v>90</v>
      </c>
      <c r="C40" s="12" t="s">
        <v>95</v>
      </c>
      <c r="D40" s="12" t="s">
        <v>96</v>
      </c>
      <c r="E40" s="7" t="n">
        <v>1</v>
      </c>
      <c r="F40" s="14" t="n">
        <v>2</v>
      </c>
      <c r="G40" s="13" t="s">
        <v>19</v>
      </c>
      <c r="H40" s="13" t="s">
        <v>49</v>
      </c>
      <c r="I40" s="7" t="s">
        <v>50</v>
      </c>
    </row>
    <row r="41" customFormat="false" ht="15" hidden="false" customHeight="false" outlineLevel="0" collapsed="false">
      <c r="A41" s="7" t="n">
        <v>33</v>
      </c>
      <c r="B41" s="14" t="s">
        <v>70</v>
      </c>
      <c r="C41" s="9" t="s">
        <v>97</v>
      </c>
      <c r="D41" s="9" t="s">
        <v>98</v>
      </c>
      <c r="E41" s="7" t="n">
        <v>5</v>
      </c>
      <c r="F41" s="10" t="n">
        <v>1</v>
      </c>
      <c r="G41" s="11" t="s">
        <v>19</v>
      </c>
      <c r="H41" s="11" t="s">
        <v>49</v>
      </c>
      <c r="I41" s="7" t="s">
        <v>50</v>
      </c>
    </row>
    <row r="42" customFormat="false" ht="15" hidden="false" customHeight="false" outlineLevel="0" collapsed="false">
      <c r="A42" s="7" t="n">
        <v>34</v>
      </c>
      <c r="B42" s="14" t="s">
        <v>70</v>
      </c>
      <c r="C42" s="12" t="s">
        <v>99</v>
      </c>
      <c r="D42" s="12" t="s">
        <v>100</v>
      </c>
      <c r="E42" s="7" t="n">
        <v>3</v>
      </c>
      <c r="F42" s="14" t="n">
        <v>2</v>
      </c>
      <c r="G42" s="13" t="s">
        <v>19</v>
      </c>
      <c r="H42" s="13" t="s">
        <v>49</v>
      </c>
      <c r="I42" s="7" t="s">
        <v>101</v>
      </c>
    </row>
    <row r="43" customFormat="false" ht="15" hidden="false" customHeight="false" outlineLevel="0" collapsed="false">
      <c r="A43" s="7" t="n">
        <v>35</v>
      </c>
      <c r="B43" s="14" t="s">
        <v>70</v>
      </c>
      <c r="C43" s="9" t="s">
        <v>102</v>
      </c>
      <c r="D43" s="9" t="s">
        <v>103</v>
      </c>
      <c r="E43" s="7" t="n">
        <v>2</v>
      </c>
      <c r="F43" s="14" t="n">
        <v>2</v>
      </c>
      <c r="G43" s="11" t="s">
        <v>19</v>
      </c>
      <c r="H43" s="11" t="s">
        <v>49</v>
      </c>
      <c r="I43" s="7" t="s">
        <v>101</v>
      </c>
    </row>
    <row r="44" customFormat="false" ht="15" hidden="false" customHeight="false" outlineLevel="0" collapsed="false">
      <c r="A44" s="7" t="n">
        <v>36</v>
      </c>
      <c r="B44" s="14" t="s">
        <v>70</v>
      </c>
      <c r="C44" s="12" t="s">
        <v>104</v>
      </c>
      <c r="D44" s="12" t="s">
        <v>105</v>
      </c>
      <c r="E44" s="7" t="n">
        <v>5</v>
      </c>
      <c r="F44" s="10" t="n">
        <v>1</v>
      </c>
      <c r="G44" s="13" t="s">
        <v>19</v>
      </c>
      <c r="H44" s="13" t="s">
        <v>106</v>
      </c>
      <c r="I44" s="7" t="s">
        <v>101</v>
      </c>
    </row>
    <row r="45" customFormat="false" ht="23.85" hidden="false" customHeight="false" outlineLevel="0" collapsed="false">
      <c r="A45" s="7" t="n">
        <v>37</v>
      </c>
      <c r="B45" s="14" t="s">
        <v>70</v>
      </c>
      <c r="C45" s="9" t="s">
        <v>107</v>
      </c>
      <c r="D45" s="9" t="s">
        <v>108</v>
      </c>
      <c r="E45" s="7" t="n">
        <v>2</v>
      </c>
      <c r="F45" s="14" t="n">
        <v>2</v>
      </c>
      <c r="G45" s="11" t="s">
        <v>19</v>
      </c>
      <c r="H45" s="11" t="s">
        <v>49</v>
      </c>
      <c r="I45" s="7" t="s">
        <v>101</v>
      </c>
    </row>
    <row r="46" customFormat="false" ht="15" hidden="false" customHeight="false" outlineLevel="0" collapsed="false">
      <c r="A46" s="7" t="n">
        <v>38</v>
      </c>
      <c r="B46" s="14" t="s">
        <v>70</v>
      </c>
      <c r="C46" s="12" t="s">
        <v>109</v>
      </c>
      <c r="D46" s="12" t="s">
        <v>110</v>
      </c>
      <c r="E46" s="7" t="n">
        <v>2</v>
      </c>
      <c r="F46" s="10" t="n">
        <v>1</v>
      </c>
      <c r="G46" s="13" t="s">
        <v>19</v>
      </c>
      <c r="H46" s="13" t="s">
        <v>49</v>
      </c>
      <c r="I46" s="7" t="s">
        <v>101</v>
      </c>
    </row>
    <row r="47" customFormat="false" ht="15" hidden="false" customHeight="false" outlineLevel="0" collapsed="false">
      <c r="A47" s="7" t="n">
        <v>39</v>
      </c>
      <c r="B47" s="8" t="s">
        <v>111</v>
      </c>
      <c r="C47" s="9" t="s">
        <v>112</v>
      </c>
      <c r="D47" s="9" t="s">
        <v>113</v>
      </c>
      <c r="E47" s="7" t="n">
        <v>4</v>
      </c>
      <c r="F47" s="10" t="n">
        <v>1</v>
      </c>
      <c r="G47" s="11" t="s">
        <v>19</v>
      </c>
      <c r="H47" s="11" t="s">
        <v>75</v>
      </c>
      <c r="I47" s="7" t="s">
        <v>101</v>
      </c>
    </row>
    <row r="48" customFormat="false" ht="15" hidden="false" customHeight="false" outlineLevel="0" collapsed="false">
      <c r="A48" s="7" t="n">
        <v>40</v>
      </c>
      <c r="B48" s="8" t="s">
        <v>111</v>
      </c>
      <c r="C48" s="12" t="s">
        <v>114</v>
      </c>
      <c r="D48" s="12" t="s">
        <v>115</v>
      </c>
      <c r="E48" s="7" t="n">
        <v>4</v>
      </c>
      <c r="F48" s="10" t="n">
        <v>1</v>
      </c>
      <c r="G48" s="13" t="s">
        <v>19</v>
      </c>
      <c r="H48" s="13" t="s">
        <v>106</v>
      </c>
      <c r="I48" s="7" t="s">
        <v>101</v>
      </c>
    </row>
    <row r="49" customFormat="false" ht="15" hidden="false" customHeight="false" outlineLevel="0" collapsed="false">
      <c r="A49" s="7" t="n">
        <v>41</v>
      </c>
      <c r="B49" s="8" t="s">
        <v>111</v>
      </c>
      <c r="C49" s="9" t="s">
        <v>116</v>
      </c>
      <c r="D49" s="9" t="s">
        <v>117</v>
      </c>
      <c r="E49" s="7" t="n">
        <v>4</v>
      </c>
      <c r="F49" s="10" t="n">
        <v>1</v>
      </c>
      <c r="G49" s="11" t="s">
        <v>19</v>
      </c>
      <c r="H49" s="11" t="s">
        <v>75</v>
      </c>
      <c r="I49" s="7" t="s">
        <v>101</v>
      </c>
    </row>
    <row r="50" customFormat="false" ht="23.85" hidden="false" customHeight="false" outlineLevel="0" collapsed="false">
      <c r="A50" s="7" t="n">
        <v>42</v>
      </c>
      <c r="B50" s="10" t="s">
        <v>118</v>
      </c>
      <c r="C50" s="12" t="s">
        <v>119</v>
      </c>
      <c r="D50" s="12" t="s">
        <v>120</v>
      </c>
      <c r="E50" s="7" t="n">
        <v>8</v>
      </c>
      <c r="F50" s="10" t="n">
        <v>1</v>
      </c>
      <c r="G50" s="13" t="s">
        <v>19</v>
      </c>
      <c r="H50" s="13" t="s">
        <v>20</v>
      </c>
      <c r="I50" s="7" t="s">
        <v>121</v>
      </c>
    </row>
    <row r="51" customFormat="false" ht="23.85" hidden="false" customHeight="false" outlineLevel="0" collapsed="false">
      <c r="A51" s="7" t="n">
        <v>43</v>
      </c>
      <c r="B51" s="16" t="s">
        <v>122</v>
      </c>
      <c r="C51" s="9" t="s">
        <v>123</v>
      </c>
      <c r="D51" s="9" t="s">
        <v>124</v>
      </c>
      <c r="E51" s="7" t="n">
        <v>5</v>
      </c>
      <c r="F51" s="14" t="n">
        <v>2</v>
      </c>
      <c r="G51" s="11" t="s">
        <v>19</v>
      </c>
      <c r="H51" s="11" t="s">
        <v>20</v>
      </c>
      <c r="I51" s="7" t="s">
        <v>121</v>
      </c>
    </row>
    <row r="52" customFormat="false" ht="15" hidden="false" customHeight="false" outlineLevel="0" collapsed="false">
      <c r="A52" s="7" t="n">
        <v>44</v>
      </c>
      <c r="B52" s="8" t="s">
        <v>111</v>
      </c>
      <c r="C52" s="12" t="s">
        <v>125</v>
      </c>
      <c r="D52" s="12" t="s">
        <v>126</v>
      </c>
      <c r="E52" s="7" t="n">
        <v>5</v>
      </c>
      <c r="F52" s="10" t="n">
        <v>1</v>
      </c>
      <c r="G52" s="13" t="s">
        <v>19</v>
      </c>
      <c r="H52" s="13" t="s">
        <v>20</v>
      </c>
      <c r="I52" s="7" t="s">
        <v>121</v>
      </c>
    </row>
    <row r="53" customFormat="false" ht="15" hidden="false" customHeight="false" outlineLevel="0" collapsed="false">
      <c r="A53" s="7" t="n">
        <v>45</v>
      </c>
      <c r="B53" s="10" t="s">
        <v>118</v>
      </c>
      <c r="C53" s="9" t="s">
        <v>127</v>
      </c>
      <c r="D53" s="9" t="s">
        <v>128</v>
      </c>
      <c r="E53" s="7" t="n">
        <v>6</v>
      </c>
      <c r="F53" s="10" t="n">
        <v>1</v>
      </c>
      <c r="G53" s="11" t="s">
        <v>19</v>
      </c>
      <c r="H53" s="11" t="s">
        <v>20</v>
      </c>
      <c r="I53" s="7" t="s">
        <v>121</v>
      </c>
    </row>
    <row r="54" customFormat="false" ht="23.85" hidden="false" customHeight="false" outlineLevel="0" collapsed="false">
      <c r="A54" s="7" t="n">
        <v>46</v>
      </c>
      <c r="B54" s="17" t="s">
        <v>129</v>
      </c>
      <c r="C54" s="12" t="s">
        <v>130</v>
      </c>
      <c r="D54" s="12" t="s">
        <v>131</v>
      </c>
      <c r="E54" s="7" t="n">
        <v>3</v>
      </c>
      <c r="F54" s="10" t="n">
        <v>1</v>
      </c>
      <c r="G54" s="13" t="s">
        <v>19</v>
      </c>
      <c r="H54" s="13" t="s">
        <v>20</v>
      </c>
      <c r="I54" s="7" t="s">
        <v>121</v>
      </c>
    </row>
    <row r="55" customFormat="false" ht="23.85" hidden="false" customHeight="false" outlineLevel="0" collapsed="false">
      <c r="A55" s="7" t="n">
        <v>47</v>
      </c>
      <c r="B55" s="14" t="s">
        <v>70</v>
      </c>
      <c r="C55" s="9" t="s">
        <v>132</v>
      </c>
      <c r="D55" s="9" t="s">
        <v>133</v>
      </c>
      <c r="E55" s="7" t="n">
        <v>2</v>
      </c>
      <c r="F55" s="14" t="n">
        <v>2</v>
      </c>
      <c r="G55" s="11" t="s">
        <v>19</v>
      </c>
      <c r="H55" s="11" t="s">
        <v>106</v>
      </c>
      <c r="I55" s="7" t="s">
        <v>101</v>
      </c>
    </row>
  </sheetData>
  <mergeCells count="3">
    <mergeCell ref="A1:I1"/>
    <mergeCell ref="A2:I2"/>
    <mergeCell ref="A6:I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3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24" hidden="false" customHeight="true" outlineLevel="0" collapsed="false">
      <c r="A1" s="18" t="s">
        <v>134</v>
      </c>
      <c r="B1" s="18"/>
    </row>
    <row r="3" customFormat="false" ht="15" hidden="false" customHeight="false" outlineLevel="0" collapsed="false">
      <c r="A3" s="19" t="s">
        <v>13</v>
      </c>
      <c r="B3" s="19" t="s">
        <v>135</v>
      </c>
      <c r="C3" s="19" t="s">
        <v>136</v>
      </c>
      <c r="E3" s="19" t="s">
        <v>8</v>
      </c>
      <c r="F3" s="19" t="s">
        <v>136</v>
      </c>
    </row>
    <row r="4" customFormat="false" ht="15" hidden="false" customHeight="false" outlineLevel="0" collapsed="false">
      <c r="A4" s="20" t="s">
        <v>19</v>
      </c>
      <c r="B4" s="21" t="n">
        <f aca="false">COUNTIF('Product Backlog'!G9:G55,A4)</f>
        <v>47</v>
      </c>
      <c r="C4" s="21" t="n">
        <f aca="false">SUMIF('Product Backlog'!G9:G55,A4,'Product Backlog'!E9:E55)</f>
        <v>158</v>
      </c>
      <c r="E4" s="20" t="s">
        <v>24</v>
      </c>
      <c r="F4" s="21" t="n">
        <f aca="false">SUMIF('Product Backlog'!B9:B55,E4,'Product Backlog'!E9:E55)</f>
        <v>4</v>
      </c>
    </row>
    <row r="5" customFormat="false" ht="15" hidden="false" customHeight="false" outlineLevel="0" collapsed="false">
      <c r="A5" s="20" t="s">
        <v>137</v>
      </c>
      <c r="B5" s="21" t="n">
        <f aca="false">COUNTIF('Product Backlog'!G9:G55,A5)</f>
        <v>0</v>
      </c>
      <c r="C5" s="21" t="n">
        <f aca="false">SUMIF('Product Backlog'!G9:G55,A5,'Product Backlog'!E9:E55)</f>
        <v>0</v>
      </c>
      <c r="E5" s="20" t="s">
        <v>122</v>
      </c>
      <c r="F5" s="21" t="n">
        <f aca="false">SUMIF('Product Backlog'!B9:B55,E5,'Product Backlog'!E9:E55)</f>
        <v>5</v>
      </c>
    </row>
    <row r="6" customFormat="false" ht="15" hidden="false" customHeight="false" outlineLevel="0" collapsed="false">
      <c r="A6" s="20" t="s">
        <v>138</v>
      </c>
      <c r="B6" s="21" t="n">
        <f aca="false">COUNTIF('Product Backlog'!G9:G55,A6)</f>
        <v>0</v>
      </c>
      <c r="C6" s="21" t="n">
        <f aca="false">SUMIF('Product Backlog'!G9:G55,A6,'Product Backlog'!E9:E55)</f>
        <v>0</v>
      </c>
      <c r="E6" s="20" t="s">
        <v>54</v>
      </c>
      <c r="F6" s="21" t="n">
        <f aca="false">SUMIF('Product Backlog'!B9:B55,E6,'Product Backlog'!E9:E55)</f>
        <v>16</v>
      </c>
    </row>
    <row r="7" customFormat="false" ht="15" hidden="false" customHeight="false" outlineLevel="0" collapsed="false">
      <c r="E7" s="20" t="s">
        <v>118</v>
      </c>
      <c r="F7" s="21" t="n">
        <f aca="false">SUMIF('Product Backlog'!B9:B55,E7,'Product Backlog'!E9:E55)</f>
        <v>14</v>
      </c>
    </row>
    <row r="8" customFormat="false" ht="15" hidden="false" customHeight="false" outlineLevel="0" collapsed="false">
      <c r="E8" s="20" t="s">
        <v>27</v>
      </c>
      <c r="F8" s="21" t="n">
        <f aca="false">SUMIF('Product Backlog'!B9:B55,E8,'Product Backlog'!E9:E55)</f>
        <v>19</v>
      </c>
    </row>
    <row r="9" customFormat="false" ht="15" hidden="false" customHeight="false" outlineLevel="0" collapsed="false">
      <c r="E9" s="20" t="s">
        <v>70</v>
      </c>
      <c r="F9" s="21" t="n">
        <f aca="false">SUMIF('Product Backlog'!B9:B55,E9,'Product Backlog'!E9:E55)</f>
        <v>54</v>
      </c>
    </row>
    <row r="10" customFormat="false" ht="15" hidden="false" customHeight="false" outlineLevel="0" collapsed="false">
      <c r="E10" s="20" t="s">
        <v>90</v>
      </c>
      <c r="F10" s="21" t="n">
        <f aca="false">SUMIF('Product Backlog'!B9:B55,E10,'Product Backlog'!E9:E55)</f>
        <v>5</v>
      </c>
    </row>
    <row r="11" customFormat="false" ht="15" hidden="false" customHeight="false" outlineLevel="0" collapsed="false">
      <c r="E11" s="20" t="s">
        <v>16</v>
      </c>
      <c r="F11" s="21" t="n">
        <f aca="false">SUMIF('Product Backlog'!B9:B55,E11,'Product Backlog'!E9:E55)</f>
        <v>4</v>
      </c>
    </row>
    <row r="12" customFormat="false" ht="15" hidden="false" customHeight="false" outlineLevel="0" collapsed="false">
      <c r="E12" s="20" t="s">
        <v>129</v>
      </c>
      <c r="F12" s="21" t="n">
        <f aca="false">SUMIF('Product Backlog'!B9:B55,E12,'Product Backlog'!E9:E55)</f>
        <v>3</v>
      </c>
    </row>
    <row r="13" customFormat="false" ht="15" hidden="false" customHeight="false" outlineLevel="0" collapsed="false">
      <c r="E13" s="20" t="s">
        <v>40</v>
      </c>
      <c r="F13" s="21" t="n">
        <f aca="false">SUMIF('Product Backlog'!B9:B55,E13,'Product Backlog'!E9:E55)</f>
        <v>4</v>
      </c>
    </row>
    <row r="14" customFormat="false" ht="15" hidden="false" customHeight="false" outlineLevel="0" collapsed="false">
      <c r="E14" s="20" t="s">
        <v>51</v>
      </c>
      <c r="F14" s="21" t="n">
        <f aca="false">SUMIF('Product Backlog'!B9:B55,E14,'Product Backlog'!E9:E55)</f>
        <v>6</v>
      </c>
    </row>
    <row r="15" customFormat="false" ht="15" hidden="false" customHeight="false" outlineLevel="0" collapsed="false">
      <c r="E15" s="20" t="s">
        <v>111</v>
      </c>
      <c r="F15" s="21" t="n">
        <f aca="false">SUMIF('Product Backlog'!B9:B55,E15,'Product Backlog'!E9:E55)</f>
        <v>17</v>
      </c>
    </row>
    <row r="16" customFormat="false" ht="15" hidden="false" customHeight="false" outlineLevel="0" collapsed="false">
      <c r="E16" s="20" t="s">
        <v>64</v>
      </c>
      <c r="F16" s="21" t="n">
        <f aca="false">SUMIF('Product Backlog'!B9:B55,E16,'Product Backlog'!E9:E55)</f>
        <v>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2026-09-20T19:48:05Z</dcterms:created>
  <dc:creator>openpyxl</dc:creator>
  <dc:description/>
  <dc:language>en-US</dc:language>
  <cp:lastModifiedBy/>
  <dcterms:modified xsi:type="dcterms:W3CDTF">2026-09-20T19:48:09Z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